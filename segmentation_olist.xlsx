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olapacia/Desktop/P1/Brazilian-E-Commerce/"/>
    </mc:Choice>
  </mc:AlternateContent>
  <xr:revisionPtr revIDLastSave="0" documentId="8_{50667E2B-8509-0747-8E88-6E425B8DC655}" xr6:coauthVersionLast="47" xr6:coauthVersionMax="47" xr10:uidLastSave="{00000000-0000-0000-0000-000000000000}"/>
  <bookViews>
    <workbookView xWindow="80" yWindow="500" windowWidth="28720" windowHeight="17500" activeTab="1" xr2:uid="{00000000-000D-0000-FFFF-FFFF00000000}"/>
  </bookViews>
  <sheets>
    <sheet name="Sheet2" sheetId="2" r:id="rId1"/>
    <sheet name="Sheet1" sheetId="1" r:id="rId2"/>
  </sheets>
  <definedNames>
    <definedName name="_xlchart.v1.0" hidden="1">Sheet1!$L$7</definedName>
    <definedName name="_xlchart.v1.1" hidden="1">Sheet1!$L$7</definedName>
  </definedNames>
  <calcPr calcId="191029"/>
  <pivotCaches>
    <pivotCache cacheId="0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2" i="1"/>
  <c r="G74" i="1"/>
  <c r="G7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2" i="1"/>
  <c r="H75" i="1"/>
  <c r="H76" i="1"/>
  <c r="H77" i="1"/>
  <c r="H78" i="1"/>
  <c r="H79" i="1"/>
  <c r="H80" i="1"/>
</calcChain>
</file>

<file path=xl/sharedStrings.xml><?xml version="1.0" encoding="utf-8"?>
<sst xmlns="http://schemas.openxmlformats.org/spreadsheetml/2006/main" count="164" uniqueCount="91">
  <si>
    <t>product_category_name</t>
  </si>
  <si>
    <t>total_orders</t>
  </si>
  <si>
    <t>total_revenue</t>
  </si>
  <si>
    <t>avg_price</t>
  </si>
  <si>
    <t>cluster</t>
  </si>
  <si>
    <t>segment_name</t>
  </si>
  <si>
    <t>beleza_saude</t>
  </si>
  <si>
    <t>1. The best ones (High Vol, High Rev)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</si>
  <si>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</si>
  <si>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</si>
  <si>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</si>
  <si>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</si>
  <si>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</si>
  <si>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</si>
  <si>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2. The stable ones (Mid Vol, Mid Rev)</t>
  </si>
  <si>
    <t>utilidades_domesticas</t>
  </si>
  <si>
    <t>automotivo</t>
  </si>
  <si>
    <t>ferramentas_jardim</t>
  </si>
  <si>
    <t>brinquedos</t>
  </si>
  <si>
    <t>bebes</t>
  </si>
  <si>
    <t>perfumaria</t>
  </si>
  <si>
    <t>telefonia</t>
  </si>
  <si>
    <t>moveis_escritorio</t>
  </si>
  <si>
    <t>3. Lower (Low Vol, Low Rev)</t>
  </si>
  <si>
    <t>papelaria</t>
  </si>
  <si>
    <t>pcs</t>
  </si>
  <si>
    <t>pet_shop</t>
  </si>
  <si>
    <t>instrumentos_musicais</t>
  </si>
  <si>
    <t>eletroportateis</t>
  </si>
  <si>
    <t>eletronicos</t>
  </si>
  <si>
    <t>consoles_games</t>
  </si>
  <si>
    <t>fashion_bolsas_e_acessorios</t>
  </si>
  <si>
    <t>construcao_ferramentas_construcao</t>
  </si>
  <si>
    <t>malas_acessorios</t>
  </si>
  <si>
    <t>eletrodomesticos_2</t>
  </si>
  <si>
    <t>casa_construcao</t>
  </si>
  <si>
    <t>eletrodomesticos</t>
  </si>
  <si>
    <t>agro_industria_e_comercio</t>
  </si>
  <si>
    <t>moveis_sala</t>
  </si>
  <si>
    <t>telefonia_fixa</t>
  </si>
  <si>
    <t>casa_conforto</t>
  </si>
  <si>
    <t>climatizacao</t>
  </si>
  <si>
    <t>audio</t>
  </si>
  <si>
    <t>portateis_casa_forno_e_cafe</t>
  </si>
  <si>
    <t>livros_interesse_geral</t>
  </si>
  <si>
    <t>moveis_cozinha_area_de_servico_jantar_e_jardim</t>
  </si>
  <si>
    <t>construcao_ferramentas_iluminacao</t>
  </si>
  <si>
    <t>construcao_ferramentas_seguranca</t>
  </si>
  <si>
    <t>industria_comercio_e_negocios</t>
  </si>
  <si>
    <t>alimentos</t>
  </si>
  <si>
    <t>market_place</t>
  </si>
  <si>
    <t>construcao_ferramentas_jardim</t>
  </si>
  <si>
    <t>artes</t>
  </si>
  <si>
    <t>fashion_calcados</t>
  </si>
  <si>
    <t>bebidas</t>
  </si>
  <si>
    <t>sinalizacao_e_seguranca</t>
  </si>
  <si>
    <t>moveis_quarto</t>
  </si>
  <si>
    <t>livros_tecnicos</t>
  </si>
  <si>
    <t>construcao_ferramentas_ferramentas</t>
  </si>
  <si>
    <t>alimentos_bebidas</t>
  </si>
  <si>
    <t>fashion_roupa_masculina</t>
  </si>
  <si>
    <t>fashion_underwear_e_moda_praia</t>
  </si>
  <si>
    <t>artigos_de_natal</t>
  </si>
  <si>
    <t>tablets_impressao_imagem</t>
  </si>
  <si>
    <t>cine_foto</t>
  </si>
  <si>
    <t>musica</t>
  </si>
  <si>
    <t>dvds_blu_ray</t>
  </si>
  <si>
    <t>livros_importados</t>
  </si>
  <si>
    <t>artigos_de_festas</t>
  </si>
  <si>
    <t>moveis_colchao_e_estofado</t>
  </si>
  <si>
    <t>portateis_cozinha_e_preparadores_de_alimentos</t>
  </si>
  <si>
    <t>fashion_roupa_feminina</t>
  </si>
  <si>
    <t>fashion_esporte</t>
  </si>
  <si>
    <t>la_cuisine</t>
  </si>
  <si>
    <t>artes_e_artesanato</t>
  </si>
  <si>
    <t>fraldas_higiene</t>
  </si>
  <si>
    <t>pc_gamer</t>
  </si>
  <si>
    <t>flores</t>
  </si>
  <si>
    <t>casa_conforto_2</t>
  </si>
  <si>
    <t>cds_dvds_musicais</t>
  </si>
  <si>
    <t>fashion_roupa_infanto_juvenil</t>
  </si>
  <si>
    <t>seguros_e_servicos</t>
  </si>
  <si>
    <t>Row Labels</t>
  </si>
  <si>
    <t>Grand Total</t>
  </si>
  <si>
    <t>Sum of total_revenue</t>
  </si>
  <si>
    <t>Average of total_orders</t>
  </si>
  <si>
    <t>Count of product_category_name</t>
  </si>
  <si>
    <t>Medium</t>
  </si>
  <si>
    <t xml:space="preserve">Least </t>
  </si>
  <si>
    <t>Most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</si>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</sst>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 Pacia" refreshedDate="46151.65171273148" createdVersion="8" refreshedVersion="8" minRefreshableVersion="3" recordCount="73" xr:uid="{B3251A26-75BF-5148-A4DF-97FA6CBDFD6B}">
  <cacheSource type="worksheet">
    <worksheetSource ref="A1:F74" sheet="Sheet1"/>
  </cacheSource>
  <cacheFields count="6">
    <cacheField name="product_category_name" numFmtId="0">
      <sharedItems/>
    </cacheField>
    <cacheField name="total_orders" numFmtId="0">
      <sharedItems containsSemiMixedTypes="0" containsString="0" containsNumber="1" containsInteger="1" minValue="2" maxValue="11115"/>
    </cacheField>
    <cacheField name="total_revenue" numFmtId="0">
      <sharedItems containsSemiMixedTypes="0" containsString="0" containsNumber="1" minValue="283.29000000000002" maxValue="1258681.3400000001" count="73">
        <n v="1258681.3400000001"/>
        <n v="1205005.68"/>
        <n v="1036988.68"/>
        <n v="988048.97"/>
        <n v="911954.32"/>
        <n v="729762.49"/>
        <n v="635290.85"/>
        <n v="632248.66"/>
        <n v="592720.11"/>
        <n v="485256.46"/>
        <n v="483946.6"/>
        <n v="411764.89"/>
        <n v="399124.87"/>
        <n v="323667.53000000003"/>
        <n v="273960.7"/>
        <n v="230943.23"/>
        <n v="222963.13"/>
        <n v="214315.41"/>
        <n v="191498.88"/>
        <n v="190648.58"/>
        <n v="160246.74"/>
        <n v="157465.22"/>
        <n v="152823.54"/>
        <n v="144677.59"/>
        <n v="140429.98000000001"/>
        <n v="113317.74"/>
        <n v="83088.12"/>
        <n v="80171.53"/>
        <n v="72530.47"/>
        <n v="68916.56"/>
        <n v="59583"/>
        <n v="58572.04"/>
        <n v="55024.959999999999"/>
        <n v="50688.5"/>
        <n v="47445.71"/>
        <n v="46856.88"/>
        <n v="46328.37"/>
        <n v="41080"/>
        <n v="40544.519999999997"/>
        <n v="39669.61"/>
        <n v="29393.41"/>
        <n v="28378.47"/>
        <n v="25715.89"/>
        <n v="24202.639999999999"/>
        <n v="23562.77"/>
        <n v="22428.7"/>
        <n v="21509.23"/>
        <n v="20028.78"/>
        <n v="19096.060000000001"/>
        <n v="15903.95"/>
        <n v="15179.48"/>
        <n v="10797.82"/>
        <n v="9541.5499999999993"/>
        <n v="8800.82"/>
        <n v="7528.41"/>
        <n v="6933.46"/>
        <n v="6034.35"/>
        <n v="5999.39"/>
        <n v="4639.8500000000004"/>
        <n v="4485.18"/>
        <n v="4368.08"/>
        <n v="3968.53"/>
        <n v="2803.64"/>
        <n v="2119.5100000000002"/>
        <n v="2054.9899999999998"/>
        <n v="1814.01"/>
        <n v="1567.59"/>
        <n v="1545.95"/>
        <n v="1110.04"/>
        <n v="760.27"/>
        <n v="730"/>
        <n v="569.85"/>
        <n v="283.29000000000002"/>
      </sharedItems>
    </cacheField>
    <cacheField name="avg_price" numFmtId="0">
      <sharedItems containsSemiMixedTypes="0" containsString="0" containsNumber="1" minValue="25.342333333333329" maxValue="1098.340541871921"/>
    </cacheField>
    <cacheField name="cluster" numFmtId="0">
      <sharedItems containsSemiMixedTypes="0" containsString="0" containsNumber="1" containsInteger="1" minValue="0" maxValue="2"/>
    </cacheField>
    <cacheField name="segment_name" numFmtId="0">
      <sharedItems count="3">
        <s v="1. The best ones (High Vol, High Rev)"/>
        <s v="2. The stable ones (Mid Vol, Mid Rev)"/>
        <s v="3. Lower (Low Vol, Low Rev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beleza_saude"/>
    <n v="9670"/>
    <x v="0"/>
    <n v="130.1635305067218"/>
    <n v="1"/>
    <x v="0"/>
  </r>
  <r>
    <s v="relogios_presentes"/>
    <n v="5991"/>
    <x v="1"/>
    <n v="201.13598397596391"/>
    <n v="1"/>
    <x v="0"/>
  </r>
  <r>
    <s v="cama_mesa_banho"/>
    <n v="11115"/>
    <x v="2"/>
    <n v="93.296327485380118"/>
    <n v="1"/>
    <x v="0"/>
  </r>
  <r>
    <s v="esporte_lazer"/>
    <n v="8641"/>
    <x v="3"/>
    <n v="114.34428538363611"/>
    <n v="1"/>
    <x v="0"/>
  </r>
  <r>
    <s v="informatica_acessorios"/>
    <n v="7827"/>
    <x v="4"/>
    <n v="116.5139031557429"/>
    <n v="1"/>
    <x v="0"/>
  </r>
  <r>
    <s v="moveis_decoracao"/>
    <n v="8334"/>
    <x v="5"/>
    <n v="87.564493640508758"/>
    <n v="1"/>
    <x v="0"/>
  </r>
  <r>
    <s v="cool_stuff"/>
    <n v="3796"/>
    <x v="6"/>
    <n v="167.35796891464699"/>
    <n v="2"/>
    <x v="1"/>
  </r>
  <r>
    <s v="utilidades_domesticas"/>
    <n v="6964"/>
    <x v="7"/>
    <n v="90.788147616312472"/>
    <n v="2"/>
    <x v="1"/>
  </r>
  <r>
    <s v="automotivo"/>
    <n v="4235"/>
    <x v="8"/>
    <n v="139.9575230224321"/>
    <n v="2"/>
    <x v="1"/>
  </r>
  <r>
    <s v="ferramentas_jardim"/>
    <n v="4347"/>
    <x v="9"/>
    <n v="111.6301955371521"/>
    <n v="2"/>
    <x v="1"/>
  </r>
  <r>
    <s v="brinquedos"/>
    <n v="4117"/>
    <x v="10"/>
    <n v="117.54836045664319"/>
    <n v="2"/>
    <x v="1"/>
  </r>
  <r>
    <s v="bebes"/>
    <n v="3065"/>
    <x v="11"/>
    <n v="134.34417292006529"/>
    <n v="2"/>
    <x v="1"/>
  </r>
  <r>
    <s v="perfumaria"/>
    <n v="3419"/>
    <x v="12"/>
    <n v="116.73731207955539"/>
    <n v="2"/>
    <x v="1"/>
  </r>
  <r>
    <s v="telefonia"/>
    <n v="4545"/>
    <x v="13"/>
    <n v="71.213977997799773"/>
    <n v="2"/>
    <x v="1"/>
  </r>
  <r>
    <s v="moveis_escritorio"/>
    <n v="1691"/>
    <x v="14"/>
    <n v="162.01105854523951"/>
    <n v="0"/>
    <x v="2"/>
  </r>
  <r>
    <s v="papelaria"/>
    <n v="2517"/>
    <x v="15"/>
    <n v="91.753369090186737"/>
    <n v="0"/>
    <x v="2"/>
  </r>
  <r>
    <s v="pcs"/>
    <n v="203"/>
    <x v="16"/>
    <n v="1098.340541871921"/>
    <n v="0"/>
    <x v="2"/>
  </r>
  <r>
    <s v="pet_shop"/>
    <n v="1947"/>
    <x v="17"/>
    <n v="110.0746841294299"/>
    <n v="0"/>
    <x v="2"/>
  </r>
  <r>
    <s v="instrumentos_musicais"/>
    <n v="680"/>
    <x v="18"/>
    <n v="281.61599999999999"/>
    <n v="0"/>
    <x v="2"/>
  </r>
  <r>
    <s v="eletroportateis"/>
    <n v="679"/>
    <x v="19"/>
    <n v="280.77846833578792"/>
    <n v="0"/>
    <x v="2"/>
  </r>
  <r>
    <s v="eletronicos"/>
    <n v="2767"/>
    <x v="20"/>
    <n v="57.913530899891583"/>
    <n v="0"/>
    <x v="2"/>
  </r>
  <r>
    <s v="consoles_games"/>
    <n v="1137"/>
    <x v="21"/>
    <n v="138.49183817062439"/>
    <n v="0"/>
    <x v="2"/>
  </r>
  <r>
    <s v="fashion_bolsas_e_acessorios"/>
    <n v="2031"/>
    <x v="22"/>
    <n v="75.245465288035462"/>
    <n v="0"/>
    <x v="2"/>
  </r>
  <r>
    <s v="construcao_ferramentas_construcao"/>
    <n v="929"/>
    <x v="23"/>
    <n v="155.73475780409041"/>
    <n v="0"/>
    <x v="2"/>
  </r>
  <r>
    <s v="malas_acessorios"/>
    <n v="1092"/>
    <x v="24"/>
    <n v="128.5988827838828"/>
    <n v="0"/>
    <x v="2"/>
  </r>
  <r>
    <s v="eletrodomesticos_2"/>
    <n v="238"/>
    <x v="25"/>
    <n v="476.12495798319333"/>
    <n v="0"/>
    <x v="2"/>
  </r>
  <r>
    <s v="casa_construcao"/>
    <n v="604"/>
    <x v="26"/>
    <n v="137.56311258278151"/>
    <n v="0"/>
    <x v="2"/>
  </r>
  <r>
    <s v="eletrodomesticos"/>
    <n v="771"/>
    <x v="27"/>
    <n v="103.98382619974061"/>
    <n v="0"/>
    <x v="2"/>
  </r>
  <r>
    <s v="agro_industria_e_comercio"/>
    <n v="212"/>
    <x v="28"/>
    <n v="342.12485849056611"/>
    <n v="0"/>
    <x v="2"/>
  </r>
  <r>
    <s v="moveis_sala"/>
    <n v="503"/>
    <x v="29"/>
    <n v="137.01105367793241"/>
    <n v="0"/>
    <x v="2"/>
  </r>
  <r>
    <s v="telefonia_fixa"/>
    <n v="264"/>
    <x v="30"/>
    <n v="225.69318181818181"/>
    <n v="0"/>
    <x v="2"/>
  </r>
  <r>
    <s v="casa_conforto"/>
    <n v="434"/>
    <x v="31"/>
    <n v="134.95861751152071"/>
    <n v="0"/>
    <x v="2"/>
  </r>
  <r>
    <s v="climatizacao"/>
    <n v="297"/>
    <x v="32"/>
    <n v="185.26922558922561"/>
    <n v="0"/>
    <x v="2"/>
  </r>
  <r>
    <s v="audio"/>
    <n v="364"/>
    <x v="33"/>
    <n v="139.2541208791209"/>
    <n v="0"/>
    <x v="2"/>
  </r>
  <r>
    <s v="portateis_casa_forno_e_cafe"/>
    <n v="76"/>
    <x v="34"/>
    <n v="624.2856578947368"/>
    <n v="0"/>
    <x v="2"/>
  </r>
  <r>
    <s v="livros_interesse_geral"/>
    <n v="553"/>
    <x v="35"/>
    <n v="84.732151898734173"/>
    <n v="0"/>
    <x v="2"/>
  </r>
  <r>
    <s v="moveis_cozinha_area_de_servico_jantar_e_jardim"/>
    <n v="281"/>
    <x v="36"/>
    <n v="164.86964412811389"/>
    <n v="0"/>
    <x v="2"/>
  </r>
  <r>
    <s v="construcao_ferramentas_iluminacao"/>
    <n v="304"/>
    <x v="37"/>
    <n v="135.13157894736841"/>
    <n v="0"/>
    <x v="2"/>
  </r>
  <r>
    <s v="construcao_ferramentas_seguranca"/>
    <n v="194"/>
    <x v="38"/>
    <n v="208.9923711340206"/>
    <n v="0"/>
    <x v="2"/>
  </r>
  <r>
    <s v="industria_comercio_e_negocios"/>
    <n v="268"/>
    <x v="39"/>
    <n v="148.0209328358209"/>
    <n v="0"/>
    <x v="2"/>
  </r>
  <r>
    <s v="alimentos"/>
    <n v="510"/>
    <x v="40"/>
    <n v="57.634137254901958"/>
    <n v="0"/>
    <x v="2"/>
  </r>
  <r>
    <s v="market_place"/>
    <n v="311"/>
    <x v="41"/>
    <n v="91.249099678456602"/>
    <n v="0"/>
    <x v="2"/>
  </r>
  <r>
    <s v="construcao_ferramentas_jardim"/>
    <n v="238"/>
    <x v="42"/>
    <n v="108.04995798319329"/>
    <n v="0"/>
    <x v="2"/>
  </r>
  <r>
    <s v="artes"/>
    <n v="209"/>
    <x v="43"/>
    <n v="115.8021052631579"/>
    <n v="0"/>
    <x v="2"/>
  </r>
  <r>
    <s v="fashion_calcados"/>
    <n v="262"/>
    <x v="44"/>
    <n v="89.934236641221375"/>
    <n v="0"/>
    <x v="2"/>
  </r>
  <r>
    <s v="bebidas"/>
    <n v="379"/>
    <x v="45"/>
    <n v="59.178627968337743"/>
    <n v="0"/>
    <x v="2"/>
  </r>
  <r>
    <s v="sinalizacao_e_seguranca"/>
    <n v="199"/>
    <x v="46"/>
    <n v="108.0865829145729"/>
    <n v="0"/>
    <x v="2"/>
  </r>
  <r>
    <s v="moveis_quarto"/>
    <n v="109"/>
    <x v="47"/>
    <n v="183.75027522935781"/>
    <n v="0"/>
    <x v="2"/>
  </r>
  <r>
    <s v="livros_tecnicos"/>
    <n v="267"/>
    <x v="48"/>
    <n v="71.520823970037455"/>
    <n v="0"/>
    <x v="2"/>
  </r>
  <r>
    <s v="construcao_ferramentas_ferramentas"/>
    <n v="103"/>
    <x v="49"/>
    <n v="154.40728155339809"/>
    <n v="0"/>
    <x v="2"/>
  </r>
  <r>
    <s v="alimentos_bebidas"/>
    <n v="278"/>
    <x v="50"/>
    <n v="54.602446043165457"/>
    <n v="0"/>
    <x v="2"/>
  </r>
  <r>
    <s v="fashion_roupa_masculina"/>
    <n v="132"/>
    <x v="51"/>
    <n v="81.801666666666662"/>
    <n v="0"/>
    <x v="2"/>
  </r>
  <r>
    <s v="fashion_underwear_e_moda_praia"/>
    <n v="131"/>
    <x v="52"/>
    <n v="72.836259541984731"/>
    <n v="0"/>
    <x v="2"/>
  </r>
  <r>
    <s v="artigos_de_natal"/>
    <n v="153"/>
    <x v="53"/>
    <n v="57.521699346405228"/>
    <n v="0"/>
    <x v="2"/>
  </r>
  <r>
    <s v="tablets_impressao_imagem"/>
    <n v="83"/>
    <x v="54"/>
    <n v="90.70373493975903"/>
    <n v="0"/>
    <x v="2"/>
  </r>
  <r>
    <s v="cine_foto"/>
    <n v="72"/>
    <x v="55"/>
    <n v="96.29805555555555"/>
    <n v="0"/>
    <x v="2"/>
  </r>
  <r>
    <s v="musica"/>
    <n v="38"/>
    <x v="56"/>
    <n v="158.79868421052629"/>
    <n v="0"/>
    <x v="2"/>
  </r>
  <r>
    <s v="dvds_blu_ray"/>
    <n v="64"/>
    <x v="57"/>
    <n v="93.740468750000005"/>
    <n v="0"/>
    <x v="2"/>
  </r>
  <r>
    <s v="livros_importados"/>
    <n v="60"/>
    <x v="58"/>
    <n v="77.330833333333345"/>
    <n v="0"/>
    <x v="2"/>
  </r>
  <r>
    <s v="artigos_de_festas"/>
    <n v="43"/>
    <x v="59"/>
    <n v="104.306511627907"/>
    <n v="0"/>
    <x v="2"/>
  </r>
  <r>
    <s v="moveis_colchao_e_estofado"/>
    <n v="38"/>
    <x v="60"/>
    <n v="114.9494736842105"/>
    <n v="0"/>
    <x v="2"/>
  </r>
  <r>
    <s v="portateis_cozinha_e_preparadores_de_alimentos"/>
    <n v="15"/>
    <x v="61"/>
    <n v="264.56866666666667"/>
    <n v="0"/>
    <x v="2"/>
  </r>
  <r>
    <s v="fashion_roupa_feminina"/>
    <n v="48"/>
    <x v="62"/>
    <n v="58.409166666666657"/>
    <n v="0"/>
    <x v="2"/>
  </r>
  <r>
    <s v="fashion_esporte"/>
    <n v="30"/>
    <x v="63"/>
    <n v="70.650333333333336"/>
    <n v="0"/>
    <x v="2"/>
  </r>
  <r>
    <s v="la_cuisine"/>
    <n v="14"/>
    <x v="64"/>
    <n v="146.785"/>
    <n v="0"/>
    <x v="2"/>
  </r>
  <r>
    <s v="artes_e_artesanato"/>
    <n v="24"/>
    <x v="65"/>
    <n v="75.583749999999995"/>
    <n v="0"/>
    <x v="2"/>
  </r>
  <r>
    <s v="fraldas_higiene"/>
    <n v="39"/>
    <x v="66"/>
    <n v="40.194615384615382"/>
    <n v="0"/>
    <x v="2"/>
  </r>
  <r>
    <s v="pc_gamer"/>
    <n v="9"/>
    <x v="67"/>
    <n v="171.77222222222221"/>
    <n v="0"/>
    <x v="2"/>
  </r>
  <r>
    <s v="flores"/>
    <n v="33"/>
    <x v="68"/>
    <n v="33.637575757575753"/>
    <n v="0"/>
    <x v="2"/>
  </r>
  <r>
    <s v="casa_conforto_2"/>
    <n v="30"/>
    <x v="69"/>
    <n v="25.342333333333329"/>
    <n v="0"/>
    <x v="2"/>
  </r>
  <r>
    <s v="cds_dvds_musicais"/>
    <n v="14"/>
    <x v="70"/>
    <n v="52.142857142857153"/>
    <n v="0"/>
    <x v="2"/>
  </r>
  <r>
    <s v="fashion_roupa_infanto_juvenil"/>
    <n v="8"/>
    <x v="71"/>
    <n v="71.231250000000003"/>
    <n v="0"/>
    <x v="2"/>
  </r>
  <r>
    <s v="seguros_e_servicos"/>
    <n v="2"/>
    <x v="72"/>
    <n v="141.64500000000001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E0EF9-8ABC-4F40-A880-A2F22567A1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6">
    <pivotField dataField="1" showAll="0"/>
    <pivotField dataField="1" showAll="0"/>
    <pivotField dataField="1" showAll="0">
      <items count="74"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revenue" fld="2" baseField="0" baseItem="0"/>
    <dataField name="Average of total_orders" fld="1" subtotal="average" baseField="0" baseItem="0"/>
    <dataField name="Count of product_category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1B5F-41BF-C741-BCD9-2907AB6FB10D}">
  <dimension ref="A3:D7"/>
  <sheetViews>
    <sheetView workbookViewId="0">
      <selection activeCell="A3" sqref="A3"/>
    </sheetView>
  </sheetViews>
  <sheetFormatPr baseColWidth="10" defaultRowHeight="15" x14ac:dyDescent="0.2"/>
  <cols>
    <col min="1" max="1" width="28.83203125" bestFit="1" customWidth="1"/>
    <col min="2" max="2" width="17.83203125" bestFit="1" customWidth="1"/>
    <col min="3" max="3" width="19.33203125" bestFit="1" customWidth="1"/>
    <col min="4" max="4" width="27.33203125" bestFit="1" customWidth="1"/>
    <col min="5" max="5" width="7.1640625" bestFit="1" customWidth="1"/>
    <col min="6" max="22" width="8.1640625" bestFit="1" customWidth="1"/>
    <col min="23" max="28" width="9.1640625" bestFit="1" customWidth="1"/>
    <col min="29" max="29" width="8.1640625" bestFit="1" customWidth="1"/>
    <col min="30" max="36" width="9.1640625" bestFit="1" customWidth="1"/>
    <col min="37" max="37" width="6.1640625" bestFit="1" customWidth="1"/>
    <col min="38" max="40" width="9.1640625" bestFit="1" customWidth="1"/>
    <col min="41" max="41" width="8.1640625" bestFit="1" customWidth="1"/>
    <col min="42" max="43" width="9.1640625" bestFit="1" customWidth="1"/>
    <col min="44" max="44" width="6.1640625" bestFit="1" customWidth="1"/>
    <col min="45" max="48" width="9.1640625" bestFit="1" customWidth="1"/>
    <col min="49" max="59" width="10.1640625" bestFit="1" customWidth="1"/>
    <col min="60" max="60" width="9.1640625" bestFit="1" customWidth="1"/>
    <col min="61" max="63" width="10.1640625" bestFit="1" customWidth="1"/>
    <col min="64" max="64" width="9.1640625" bestFit="1" customWidth="1"/>
    <col min="65" max="71" width="10.1640625" bestFit="1" customWidth="1"/>
    <col min="72" max="74" width="11.1640625" bestFit="1" customWidth="1"/>
    <col min="75" max="75" width="10" bestFit="1" customWidth="1"/>
  </cols>
  <sheetData>
    <row r="3" spans="1:4" x14ac:dyDescent="0.2">
      <c r="A3" s="1" t="s">
        <v>82</v>
      </c>
      <c r="B3" t="s">
        <v>84</v>
      </c>
      <c r="C3" t="s">
        <v>85</v>
      </c>
      <c r="D3" t="s">
        <v>86</v>
      </c>
    </row>
    <row r="4" spans="1:4" x14ac:dyDescent="0.2">
      <c r="A4" s="2" t="s">
        <v>7</v>
      </c>
      <c r="B4">
        <v>6130441.4800000004</v>
      </c>
      <c r="C4">
        <v>8596.3333333333339</v>
      </c>
      <c r="D4">
        <v>6</v>
      </c>
    </row>
    <row r="5" spans="1:4" x14ac:dyDescent="0.2">
      <c r="A5" s="2" t="s">
        <v>14</v>
      </c>
      <c r="B5">
        <v>3964019.9700000007</v>
      </c>
      <c r="C5">
        <v>4311</v>
      </c>
      <c r="D5">
        <v>8</v>
      </c>
    </row>
    <row r="6" spans="1:4" x14ac:dyDescent="0.2">
      <c r="A6" s="2" t="s">
        <v>23</v>
      </c>
      <c r="B6">
        <v>3317646.9700000011</v>
      </c>
      <c r="C6">
        <v>423.40677966101697</v>
      </c>
      <c r="D6">
        <v>59</v>
      </c>
    </row>
    <row r="7" spans="1:4" x14ac:dyDescent="0.2">
      <c r="A7" s="2" t="s">
        <v>83</v>
      </c>
      <c r="B7">
        <v>13412108.42</v>
      </c>
      <c r="C7">
        <v>1521.1917808219177</v>
      </c>
      <c r="D7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tabSelected="1" zoomScale="57" workbookViewId="0">
      <selection activeCell="I1" activeCellId="2" sqref="G1 H1 I1"/>
    </sheetView>
  </sheetViews>
  <sheetFormatPr baseColWidth="10" defaultColWidth="8.83203125" defaultRowHeight="15" x14ac:dyDescent="0.2"/>
  <cols>
    <col min="1" max="1" width="36.83203125" customWidth="1"/>
    <col min="2" max="2" width="20" customWidth="1"/>
    <col min="3" max="3" width="16.1640625" customWidth="1"/>
    <col min="4" max="4" width="20.6640625" customWidth="1"/>
    <col min="5" max="5" width="24.33203125" customWidth="1"/>
    <col min="6" max="6" width="38" customWidth="1"/>
    <col min="7" max="7" width="17.6640625" customWidth="1"/>
    <col min="8" max="8" width="18.5" customWidth="1"/>
    <col min="9" max="9" width="25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89</v>
      </c>
      <c r="H1" s="3" t="s">
        <v>87</v>
      </c>
      <c r="I1" s="3" t="s">
        <v>88</v>
      </c>
    </row>
    <row r="2" spans="1:18" ht="16" x14ac:dyDescent="0.25">
      <c r="A2" t="s">
        <v>6</v>
      </c>
      <c r="B2">
        <v>9670</v>
      </c>
      <c r="C2">
        <v>1258681.3400000001</v>
      </c>
      <c r="D2">
        <v>130.1635305067218</v>
      </c>
      <c r="E2">
        <v>1</v>
      </c>
      <c r="F2" t="s">
        <v>7</v>
      </c>
      <c r="G2" s="4">
        <f>IF(E3=1,C3,"")</f>
        <v>1205005.68</v>
      </c>
      <c r="H2" s="3" t="str">
        <f>IF(E2=2,C2,"")</f>
        <v/>
      </c>
      <c r="I2" s="3" t="str">
        <f>IF(E2=0,C2,"")</f>
        <v/>
      </c>
    </row>
    <row r="3" spans="1:18" ht="16" x14ac:dyDescent="0.25">
      <c r="A3" t="s">
        <v>8</v>
      </c>
      <c r="B3">
        <v>5991</v>
      </c>
      <c r="C3">
        <v>1205005.68</v>
      </c>
      <c r="D3">
        <v>201.13598397596391</v>
      </c>
      <c r="E3">
        <v>1</v>
      </c>
      <c r="F3" t="s">
        <v>7</v>
      </c>
      <c r="G3" s="4">
        <f t="shared" ref="G3:G66" si="0">IF(E4=1,C4,"")</f>
        <v>1036988.68</v>
      </c>
      <c r="H3" s="3" t="str">
        <f t="shared" ref="H3:H66" si="1">IF(E3=2,C3,"")</f>
        <v/>
      </c>
      <c r="I3" s="3" t="str">
        <f t="shared" ref="I3:I66" si="2">IF(E3=0,C3,"")</f>
        <v/>
      </c>
    </row>
    <row r="4" spans="1:18" ht="16" x14ac:dyDescent="0.25">
      <c r="A4" t="s">
        <v>9</v>
      </c>
      <c r="B4">
        <v>11115</v>
      </c>
      <c r="C4">
        <v>1036988.68</v>
      </c>
      <c r="D4">
        <v>93.296327485380118</v>
      </c>
      <c r="E4">
        <v>1</v>
      </c>
      <c r="F4" t="s">
        <v>7</v>
      </c>
      <c r="G4" s="4">
        <f t="shared" si="0"/>
        <v>988048.97</v>
      </c>
      <c r="H4" s="3" t="str">
        <f t="shared" si="1"/>
        <v/>
      </c>
      <c r="I4" s="3" t="str">
        <f t="shared" si="2"/>
        <v/>
      </c>
    </row>
    <row r="5" spans="1:18" ht="16" x14ac:dyDescent="0.25">
      <c r="A5" t="s">
        <v>10</v>
      </c>
      <c r="B5">
        <v>8641</v>
      </c>
      <c r="C5">
        <v>988048.97</v>
      </c>
      <c r="D5">
        <v>114.34428538363611</v>
      </c>
      <c r="E5">
        <v>1</v>
      </c>
      <c r="F5" t="s">
        <v>7</v>
      </c>
      <c r="G5" s="4">
        <f t="shared" si="0"/>
        <v>911954.32</v>
      </c>
      <c r="H5" s="3" t="str">
        <f t="shared" si="1"/>
        <v/>
      </c>
      <c r="I5" s="3" t="str">
        <f t="shared" si="2"/>
        <v/>
      </c>
      <c r="R5" t="s">
        <v>90</v>
      </c>
    </row>
    <row r="6" spans="1:18" ht="16" x14ac:dyDescent="0.25">
      <c r="A6" t="s">
        <v>11</v>
      </c>
      <c r="B6">
        <v>7827</v>
      </c>
      <c r="C6">
        <v>911954.32</v>
      </c>
      <c r="D6">
        <v>116.5139031557429</v>
      </c>
      <c r="E6">
        <v>1</v>
      </c>
      <c r="F6" t="s">
        <v>7</v>
      </c>
      <c r="G6" s="4">
        <f t="shared" si="0"/>
        <v>729762.49</v>
      </c>
      <c r="H6" s="3" t="str">
        <f t="shared" si="1"/>
        <v/>
      </c>
      <c r="I6" s="3" t="str">
        <f t="shared" si="2"/>
        <v/>
      </c>
    </row>
    <row r="7" spans="1:18" ht="16" x14ac:dyDescent="0.25">
      <c r="A7" t="s">
        <v>12</v>
      </c>
      <c r="B7">
        <v>8334</v>
      </c>
      <c r="C7">
        <v>729762.49</v>
      </c>
      <c r="D7">
        <v>87.564493640508758</v>
      </c>
      <c r="E7">
        <v>1</v>
      </c>
      <c r="F7" t="s">
        <v>7</v>
      </c>
      <c r="G7" s="4" t="str">
        <f t="shared" si="0"/>
        <v/>
      </c>
      <c r="H7" s="3" t="str">
        <f t="shared" si="1"/>
        <v/>
      </c>
      <c r="I7" s="3" t="str">
        <f t="shared" si="2"/>
        <v/>
      </c>
    </row>
    <row r="8" spans="1:18" ht="16" x14ac:dyDescent="0.25">
      <c r="A8" t="s">
        <v>13</v>
      </c>
      <c r="B8">
        <v>3796</v>
      </c>
      <c r="C8">
        <v>635290.85</v>
      </c>
      <c r="D8">
        <v>167.35796891464699</v>
      </c>
      <c r="E8">
        <v>2</v>
      </c>
      <c r="F8" t="s">
        <v>14</v>
      </c>
      <c r="G8" s="4" t="str">
        <f t="shared" si="0"/>
        <v/>
      </c>
      <c r="H8" s="3">
        <f t="shared" si="1"/>
        <v>635290.85</v>
      </c>
      <c r="I8" s="3" t="str">
        <f t="shared" si="2"/>
        <v/>
      </c>
    </row>
    <row r="9" spans="1:18" ht="16" x14ac:dyDescent="0.25">
      <c r="A9" t="s">
        <v>15</v>
      </c>
      <c r="B9">
        <v>6964</v>
      </c>
      <c r="C9">
        <v>632248.66</v>
      </c>
      <c r="D9">
        <v>90.788147616312472</v>
      </c>
      <c r="E9">
        <v>2</v>
      </c>
      <c r="F9" t="s">
        <v>14</v>
      </c>
      <c r="G9" s="4" t="str">
        <f t="shared" si="0"/>
        <v/>
      </c>
      <c r="H9" s="3">
        <f t="shared" si="1"/>
        <v>632248.66</v>
      </c>
      <c r="I9" s="3" t="str">
        <f t="shared" si="2"/>
        <v/>
      </c>
    </row>
    <row r="10" spans="1:18" ht="16" x14ac:dyDescent="0.25">
      <c r="A10" t="s">
        <v>16</v>
      </c>
      <c r="B10">
        <v>4235</v>
      </c>
      <c r="C10">
        <v>592720.11</v>
      </c>
      <c r="D10">
        <v>139.9575230224321</v>
      </c>
      <c r="E10">
        <v>2</v>
      </c>
      <c r="F10" t="s">
        <v>14</v>
      </c>
      <c r="G10" s="4" t="str">
        <f t="shared" si="0"/>
        <v/>
      </c>
      <c r="H10" s="3">
        <f t="shared" si="1"/>
        <v>592720.11</v>
      </c>
      <c r="I10" s="3" t="str">
        <f t="shared" si="2"/>
        <v/>
      </c>
    </row>
    <row r="11" spans="1:18" ht="16" x14ac:dyDescent="0.25">
      <c r="A11" t="s">
        <v>17</v>
      </c>
      <c r="B11">
        <v>4347</v>
      </c>
      <c r="C11">
        <v>485256.46</v>
      </c>
      <c r="D11">
        <v>111.6301955371521</v>
      </c>
      <c r="E11">
        <v>2</v>
      </c>
      <c r="F11" t="s">
        <v>14</v>
      </c>
      <c r="G11" s="4" t="str">
        <f t="shared" si="0"/>
        <v/>
      </c>
      <c r="H11" s="3">
        <f t="shared" si="1"/>
        <v>485256.46</v>
      </c>
      <c r="I11" s="3" t="str">
        <f t="shared" si="2"/>
        <v/>
      </c>
    </row>
    <row r="12" spans="1:18" ht="16" x14ac:dyDescent="0.25">
      <c r="A12" t="s">
        <v>18</v>
      </c>
      <c r="B12">
        <v>4117</v>
      </c>
      <c r="C12">
        <v>483946.6</v>
      </c>
      <c r="D12">
        <v>117.54836045664319</v>
      </c>
      <c r="E12">
        <v>2</v>
      </c>
      <c r="F12" t="s">
        <v>14</v>
      </c>
      <c r="G12" s="4" t="str">
        <f t="shared" si="0"/>
        <v/>
      </c>
      <c r="H12" s="3">
        <f t="shared" si="1"/>
        <v>483946.6</v>
      </c>
      <c r="I12" s="3" t="str">
        <f t="shared" si="2"/>
        <v/>
      </c>
    </row>
    <row r="13" spans="1:18" ht="16" x14ac:dyDescent="0.25">
      <c r="A13" t="s">
        <v>19</v>
      </c>
      <c r="B13">
        <v>3065</v>
      </c>
      <c r="C13">
        <v>411764.89</v>
      </c>
      <c r="D13">
        <v>134.34417292006529</v>
      </c>
      <c r="E13">
        <v>2</v>
      </c>
      <c r="F13" t="s">
        <v>14</v>
      </c>
      <c r="G13" s="4" t="str">
        <f t="shared" si="0"/>
        <v/>
      </c>
      <c r="H13" s="3">
        <f t="shared" si="1"/>
        <v>411764.89</v>
      </c>
      <c r="I13" s="3" t="str">
        <f t="shared" si="2"/>
        <v/>
      </c>
    </row>
    <row r="14" spans="1:18" ht="16" x14ac:dyDescent="0.25">
      <c r="A14" t="s">
        <v>20</v>
      </c>
      <c r="B14">
        <v>3419</v>
      </c>
      <c r="C14">
        <v>399124.87</v>
      </c>
      <c r="D14">
        <v>116.73731207955539</v>
      </c>
      <c r="E14">
        <v>2</v>
      </c>
      <c r="F14" t="s">
        <v>14</v>
      </c>
      <c r="G14" s="4" t="str">
        <f t="shared" si="0"/>
        <v/>
      </c>
      <c r="H14" s="3">
        <f t="shared" si="1"/>
        <v>399124.87</v>
      </c>
      <c r="I14" s="3" t="str">
        <f t="shared" si="2"/>
        <v/>
      </c>
    </row>
    <row r="15" spans="1:18" ht="16" x14ac:dyDescent="0.25">
      <c r="A15" t="s">
        <v>21</v>
      </c>
      <c r="B15">
        <v>4545</v>
      </c>
      <c r="C15">
        <v>323667.53000000003</v>
      </c>
      <c r="D15">
        <v>71.213977997799773</v>
      </c>
      <c r="E15">
        <v>2</v>
      </c>
      <c r="F15" t="s">
        <v>14</v>
      </c>
      <c r="G15" s="4" t="str">
        <f t="shared" si="0"/>
        <v/>
      </c>
      <c r="H15" s="3">
        <f t="shared" si="1"/>
        <v>323667.53000000003</v>
      </c>
      <c r="I15" s="3" t="str">
        <f t="shared" si="2"/>
        <v/>
      </c>
    </row>
    <row r="16" spans="1:18" ht="16" x14ac:dyDescent="0.25">
      <c r="A16" t="s">
        <v>22</v>
      </c>
      <c r="B16">
        <v>1691</v>
      </c>
      <c r="C16">
        <v>273960.7</v>
      </c>
      <c r="D16">
        <v>162.01105854523951</v>
      </c>
      <c r="E16">
        <v>0</v>
      </c>
      <c r="F16" t="s">
        <v>23</v>
      </c>
      <c r="G16" s="4" t="str">
        <f t="shared" si="0"/>
        <v/>
      </c>
      <c r="H16" s="3" t="str">
        <f t="shared" si="1"/>
        <v/>
      </c>
      <c r="I16" s="3">
        <f t="shared" si="2"/>
        <v>273960.7</v>
      </c>
    </row>
    <row r="17" spans="1:9" ht="16" x14ac:dyDescent="0.25">
      <c r="A17" t="s">
        <v>24</v>
      </c>
      <c r="B17">
        <v>2517</v>
      </c>
      <c r="C17">
        <v>230943.23</v>
      </c>
      <c r="D17">
        <v>91.753369090186737</v>
      </c>
      <c r="E17">
        <v>0</v>
      </c>
      <c r="F17" t="s">
        <v>23</v>
      </c>
      <c r="G17" s="4" t="str">
        <f t="shared" si="0"/>
        <v/>
      </c>
      <c r="H17" s="3" t="str">
        <f t="shared" si="1"/>
        <v/>
      </c>
      <c r="I17" s="3">
        <f t="shared" si="2"/>
        <v>230943.23</v>
      </c>
    </row>
    <row r="18" spans="1:9" ht="16" x14ac:dyDescent="0.25">
      <c r="A18" t="s">
        <v>25</v>
      </c>
      <c r="B18">
        <v>203</v>
      </c>
      <c r="C18">
        <v>222963.13</v>
      </c>
      <c r="D18">
        <v>1098.340541871921</v>
      </c>
      <c r="E18">
        <v>0</v>
      </c>
      <c r="F18" t="s">
        <v>23</v>
      </c>
      <c r="G18" s="4" t="str">
        <f t="shared" si="0"/>
        <v/>
      </c>
      <c r="H18" s="3" t="str">
        <f t="shared" si="1"/>
        <v/>
      </c>
      <c r="I18" s="3">
        <f t="shared" si="2"/>
        <v>222963.13</v>
      </c>
    </row>
    <row r="19" spans="1:9" ht="16" x14ac:dyDescent="0.25">
      <c r="A19" t="s">
        <v>26</v>
      </c>
      <c r="B19">
        <v>1947</v>
      </c>
      <c r="C19">
        <v>214315.41</v>
      </c>
      <c r="D19">
        <v>110.0746841294299</v>
      </c>
      <c r="E19">
        <v>0</v>
      </c>
      <c r="F19" t="s">
        <v>23</v>
      </c>
      <c r="G19" s="4" t="str">
        <f t="shared" si="0"/>
        <v/>
      </c>
      <c r="H19" s="3" t="str">
        <f t="shared" si="1"/>
        <v/>
      </c>
      <c r="I19" s="3">
        <f t="shared" si="2"/>
        <v>214315.41</v>
      </c>
    </row>
    <row r="20" spans="1:9" ht="16" x14ac:dyDescent="0.25">
      <c r="A20" t="s">
        <v>27</v>
      </c>
      <c r="B20">
        <v>680</v>
      </c>
      <c r="C20">
        <v>191498.88</v>
      </c>
      <c r="D20">
        <v>281.61599999999999</v>
      </c>
      <c r="E20">
        <v>0</v>
      </c>
      <c r="F20" t="s">
        <v>23</v>
      </c>
      <c r="G20" s="4" t="str">
        <f t="shared" si="0"/>
        <v/>
      </c>
      <c r="H20" s="3" t="str">
        <f t="shared" si="1"/>
        <v/>
      </c>
      <c r="I20" s="3">
        <f t="shared" si="2"/>
        <v>191498.88</v>
      </c>
    </row>
    <row r="21" spans="1:9" ht="16" x14ac:dyDescent="0.25">
      <c r="A21" t="s">
        <v>28</v>
      </c>
      <c r="B21">
        <v>679</v>
      </c>
      <c r="C21">
        <v>190648.58</v>
      </c>
      <c r="D21">
        <v>280.77846833578792</v>
      </c>
      <c r="E21">
        <v>0</v>
      </c>
      <c r="F21" t="s">
        <v>23</v>
      </c>
      <c r="G21" s="4" t="str">
        <f t="shared" si="0"/>
        <v/>
      </c>
      <c r="H21" s="3" t="str">
        <f t="shared" si="1"/>
        <v/>
      </c>
      <c r="I21" s="3">
        <f t="shared" si="2"/>
        <v>190648.58</v>
      </c>
    </row>
    <row r="22" spans="1:9" ht="16" x14ac:dyDescent="0.25">
      <c r="A22" t="s">
        <v>29</v>
      </c>
      <c r="B22">
        <v>2767</v>
      </c>
      <c r="C22">
        <v>160246.74</v>
      </c>
      <c r="D22">
        <v>57.913530899891583</v>
      </c>
      <c r="E22">
        <v>0</v>
      </c>
      <c r="F22" t="s">
        <v>23</v>
      </c>
      <c r="G22" s="4" t="str">
        <f t="shared" si="0"/>
        <v/>
      </c>
      <c r="H22" s="3" t="str">
        <f t="shared" si="1"/>
        <v/>
      </c>
      <c r="I22" s="3">
        <f t="shared" si="2"/>
        <v>160246.74</v>
      </c>
    </row>
    <row r="23" spans="1:9" ht="16" x14ac:dyDescent="0.25">
      <c r="A23" t="s">
        <v>30</v>
      </c>
      <c r="B23">
        <v>1137</v>
      </c>
      <c r="C23">
        <v>157465.22</v>
      </c>
      <c r="D23">
        <v>138.49183817062439</v>
      </c>
      <c r="E23">
        <v>0</v>
      </c>
      <c r="F23" t="s">
        <v>23</v>
      </c>
      <c r="G23" s="4" t="str">
        <f t="shared" si="0"/>
        <v/>
      </c>
      <c r="H23" s="3" t="str">
        <f t="shared" si="1"/>
        <v/>
      </c>
      <c r="I23" s="3">
        <f t="shared" si="2"/>
        <v>157465.22</v>
      </c>
    </row>
    <row r="24" spans="1:9" ht="16" x14ac:dyDescent="0.25">
      <c r="A24" t="s">
        <v>31</v>
      </c>
      <c r="B24">
        <v>2031</v>
      </c>
      <c r="C24">
        <v>152823.54</v>
      </c>
      <c r="D24">
        <v>75.245465288035462</v>
      </c>
      <c r="E24">
        <v>0</v>
      </c>
      <c r="F24" t="s">
        <v>23</v>
      </c>
      <c r="G24" s="4" t="str">
        <f t="shared" si="0"/>
        <v/>
      </c>
      <c r="H24" s="3" t="str">
        <f t="shared" si="1"/>
        <v/>
      </c>
      <c r="I24" s="3">
        <f t="shared" si="2"/>
        <v>152823.54</v>
      </c>
    </row>
    <row r="25" spans="1:9" ht="16" x14ac:dyDescent="0.25">
      <c r="A25" t="s">
        <v>32</v>
      </c>
      <c r="B25">
        <v>929</v>
      </c>
      <c r="C25">
        <v>144677.59</v>
      </c>
      <c r="D25">
        <v>155.73475780409041</v>
      </c>
      <c r="E25">
        <v>0</v>
      </c>
      <c r="F25" t="s">
        <v>23</v>
      </c>
      <c r="G25" s="4" t="str">
        <f t="shared" si="0"/>
        <v/>
      </c>
      <c r="H25" s="3" t="str">
        <f t="shared" si="1"/>
        <v/>
      </c>
      <c r="I25" s="3">
        <f t="shared" si="2"/>
        <v>144677.59</v>
      </c>
    </row>
    <row r="26" spans="1:9" ht="16" x14ac:dyDescent="0.25">
      <c r="A26" t="s">
        <v>33</v>
      </c>
      <c r="B26">
        <v>1092</v>
      </c>
      <c r="C26">
        <v>140429.98000000001</v>
      </c>
      <c r="D26">
        <v>128.5988827838828</v>
      </c>
      <c r="E26">
        <v>0</v>
      </c>
      <c r="F26" t="s">
        <v>23</v>
      </c>
      <c r="G26" s="4" t="str">
        <f t="shared" si="0"/>
        <v/>
      </c>
      <c r="H26" s="3" t="str">
        <f t="shared" si="1"/>
        <v/>
      </c>
      <c r="I26" s="3">
        <f t="shared" si="2"/>
        <v>140429.98000000001</v>
      </c>
    </row>
    <row r="27" spans="1:9" ht="16" x14ac:dyDescent="0.25">
      <c r="A27" t="s">
        <v>34</v>
      </c>
      <c r="B27">
        <v>238</v>
      </c>
      <c r="C27">
        <v>113317.74</v>
      </c>
      <c r="D27">
        <v>476.12495798319333</v>
      </c>
      <c r="E27">
        <v>0</v>
      </c>
      <c r="F27" t="s">
        <v>23</v>
      </c>
      <c r="G27" s="4" t="str">
        <f t="shared" si="0"/>
        <v/>
      </c>
      <c r="H27" s="3" t="str">
        <f t="shared" si="1"/>
        <v/>
      </c>
      <c r="I27" s="3">
        <f t="shared" si="2"/>
        <v>113317.74</v>
      </c>
    </row>
    <row r="28" spans="1:9" ht="16" x14ac:dyDescent="0.25">
      <c r="A28" t="s">
        <v>35</v>
      </c>
      <c r="B28">
        <v>604</v>
      </c>
      <c r="C28">
        <v>83088.12</v>
      </c>
      <c r="D28">
        <v>137.56311258278151</v>
      </c>
      <c r="E28">
        <v>0</v>
      </c>
      <c r="F28" t="s">
        <v>23</v>
      </c>
      <c r="G28" s="4" t="str">
        <f t="shared" si="0"/>
        <v/>
      </c>
      <c r="H28" s="3" t="str">
        <f t="shared" si="1"/>
        <v/>
      </c>
      <c r="I28" s="3">
        <f t="shared" si="2"/>
        <v>83088.12</v>
      </c>
    </row>
    <row r="29" spans="1:9" ht="16" x14ac:dyDescent="0.25">
      <c r="A29" t="s">
        <v>36</v>
      </c>
      <c r="B29">
        <v>771</v>
      </c>
      <c r="C29">
        <v>80171.53</v>
      </c>
      <c r="D29">
        <v>103.98382619974061</v>
      </c>
      <c r="E29">
        <v>0</v>
      </c>
      <c r="F29" t="s">
        <v>23</v>
      </c>
      <c r="G29" s="4" t="str">
        <f t="shared" si="0"/>
        <v/>
      </c>
      <c r="H29" s="3" t="str">
        <f t="shared" si="1"/>
        <v/>
      </c>
      <c r="I29" s="3">
        <f t="shared" si="2"/>
        <v>80171.53</v>
      </c>
    </row>
    <row r="30" spans="1:9" ht="16" x14ac:dyDescent="0.25">
      <c r="A30" t="s">
        <v>37</v>
      </c>
      <c r="B30">
        <v>212</v>
      </c>
      <c r="C30">
        <v>72530.47</v>
      </c>
      <c r="D30">
        <v>342.12485849056611</v>
      </c>
      <c r="E30">
        <v>0</v>
      </c>
      <c r="F30" t="s">
        <v>23</v>
      </c>
      <c r="G30" s="4" t="str">
        <f t="shared" si="0"/>
        <v/>
      </c>
      <c r="H30" s="3" t="str">
        <f t="shared" si="1"/>
        <v/>
      </c>
      <c r="I30" s="3">
        <f t="shared" si="2"/>
        <v>72530.47</v>
      </c>
    </row>
    <row r="31" spans="1:9" ht="16" x14ac:dyDescent="0.25">
      <c r="A31" t="s">
        <v>38</v>
      </c>
      <c r="B31">
        <v>503</v>
      </c>
      <c r="C31">
        <v>68916.56</v>
      </c>
      <c r="D31">
        <v>137.01105367793241</v>
      </c>
      <c r="E31">
        <v>0</v>
      </c>
      <c r="F31" t="s">
        <v>23</v>
      </c>
      <c r="G31" s="4" t="str">
        <f t="shared" si="0"/>
        <v/>
      </c>
      <c r="H31" s="3" t="str">
        <f t="shared" si="1"/>
        <v/>
      </c>
      <c r="I31" s="3">
        <f t="shared" si="2"/>
        <v>68916.56</v>
      </c>
    </row>
    <row r="32" spans="1:9" ht="16" x14ac:dyDescent="0.25">
      <c r="A32" t="s">
        <v>39</v>
      </c>
      <c r="B32">
        <v>264</v>
      </c>
      <c r="C32">
        <v>59583</v>
      </c>
      <c r="D32">
        <v>225.69318181818181</v>
      </c>
      <c r="E32">
        <v>0</v>
      </c>
      <c r="F32" t="s">
        <v>23</v>
      </c>
      <c r="G32" s="4" t="str">
        <f t="shared" si="0"/>
        <v/>
      </c>
      <c r="H32" s="3" t="str">
        <f t="shared" si="1"/>
        <v/>
      </c>
      <c r="I32" s="3">
        <f t="shared" si="2"/>
        <v>59583</v>
      </c>
    </row>
    <row r="33" spans="1:9" ht="16" x14ac:dyDescent="0.25">
      <c r="A33" t="s">
        <v>40</v>
      </c>
      <c r="B33">
        <v>434</v>
      </c>
      <c r="C33">
        <v>58572.04</v>
      </c>
      <c r="D33">
        <v>134.95861751152071</v>
      </c>
      <c r="E33">
        <v>0</v>
      </c>
      <c r="F33" t="s">
        <v>23</v>
      </c>
      <c r="G33" s="4" t="str">
        <f t="shared" si="0"/>
        <v/>
      </c>
      <c r="H33" s="3" t="str">
        <f t="shared" si="1"/>
        <v/>
      </c>
      <c r="I33" s="3">
        <f t="shared" si="2"/>
        <v>58572.04</v>
      </c>
    </row>
    <row r="34" spans="1:9" ht="16" x14ac:dyDescent="0.25">
      <c r="A34" t="s">
        <v>41</v>
      </c>
      <c r="B34">
        <v>297</v>
      </c>
      <c r="C34">
        <v>55024.959999999999</v>
      </c>
      <c r="D34">
        <v>185.26922558922561</v>
      </c>
      <c r="E34">
        <v>0</v>
      </c>
      <c r="F34" t="s">
        <v>23</v>
      </c>
      <c r="G34" s="4" t="str">
        <f t="shared" si="0"/>
        <v/>
      </c>
      <c r="H34" s="3" t="str">
        <f t="shared" si="1"/>
        <v/>
      </c>
      <c r="I34" s="3">
        <f t="shared" si="2"/>
        <v>55024.959999999999</v>
      </c>
    </row>
    <row r="35" spans="1:9" ht="16" x14ac:dyDescent="0.25">
      <c r="A35" t="s">
        <v>42</v>
      </c>
      <c r="B35">
        <v>364</v>
      </c>
      <c r="C35">
        <v>50688.5</v>
      </c>
      <c r="D35">
        <v>139.2541208791209</v>
      </c>
      <c r="E35">
        <v>0</v>
      </c>
      <c r="F35" t="s">
        <v>23</v>
      </c>
      <c r="G35" s="4" t="str">
        <f t="shared" si="0"/>
        <v/>
      </c>
      <c r="H35" s="3" t="str">
        <f t="shared" si="1"/>
        <v/>
      </c>
      <c r="I35" s="3">
        <f t="shared" si="2"/>
        <v>50688.5</v>
      </c>
    </row>
    <row r="36" spans="1:9" ht="16" x14ac:dyDescent="0.25">
      <c r="A36" t="s">
        <v>43</v>
      </c>
      <c r="B36">
        <v>76</v>
      </c>
      <c r="C36">
        <v>47445.71</v>
      </c>
      <c r="D36">
        <v>624.2856578947368</v>
      </c>
      <c r="E36">
        <v>0</v>
      </c>
      <c r="F36" t="s">
        <v>23</v>
      </c>
      <c r="G36" s="4" t="str">
        <f t="shared" si="0"/>
        <v/>
      </c>
      <c r="H36" s="3" t="str">
        <f t="shared" si="1"/>
        <v/>
      </c>
      <c r="I36" s="3">
        <f t="shared" si="2"/>
        <v>47445.71</v>
      </c>
    </row>
    <row r="37" spans="1:9" ht="16" x14ac:dyDescent="0.25">
      <c r="A37" t="s">
        <v>44</v>
      </c>
      <c r="B37">
        <v>553</v>
      </c>
      <c r="C37">
        <v>46856.88</v>
      </c>
      <c r="D37">
        <v>84.732151898734173</v>
      </c>
      <c r="E37">
        <v>0</v>
      </c>
      <c r="F37" t="s">
        <v>23</v>
      </c>
      <c r="G37" s="4" t="str">
        <f t="shared" si="0"/>
        <v/>
      </c>
      <c r="H37" s="3" t="str">
        <f t="shared" si="1"/>
        <v/>
      </c>
      <c r="I37" s="3">
        <f t="shared" si="2"/>
        <v>46856.88</v>
      </c>
    </row>
    <row r="38" spans="1:9" ht="16" x14ac:dyDescent="0.25">
      <c r="A38" t="s">
        <v>45</v>
      </c>
      <c r="B38">
        <v>281</v>
      </c>
      <c r="C38">
        <v>46328.37</v>
      </c>
      <c r="D38">
        <v>164.86964412811389</v>
      </c>
      <c r="E38">
        <v>0</v>
      </c>
      <c r="F38" t="s">
        <v>23</v>
      </c>
      <c r="G38" s="4" t="str">
        <f t="shared" si="0"/>
        <v/>
      </c>
      <c r="H38" s="3" t="str">
        <f t="shared" si="1"/>
        <v/>
      </c>
      <c r="I38" s="3">
        <f t="shared" si="2"/>
        <v>46328.37</v>
      </c>
    </row>
    <row r="39" spans="1:9" ht="16" x14ac:dyDescent="0.25">
      <c r="A39" t="s">
        <v>46</v>
      </c>
      <c r="B39">
        <v>304</v>
      </c>
      <c r="C39">
        <v>41080</v>
      </c>
      <c r="D39">
        <v>135.13157894736841</v>
      </c>
      <c r="E39">
        <v>0</v>
      </c>
      <c r="F39" t="s">
        <v>23</v>
      </c>
      <c r="G39" s="4" t="str">
        <f t="shared" si="0"/>
        <v/>
      </c>
      <c r="H39" s="3" t="str">
        <f t="shared" si="1"/>
        <v/>
      </c>
      <c r="I39" s="3">
        <f t="shared" si="2"/>
        <v>41080</v>
      </c>
    </row>
    <row r="40" spans="1:9" ht="16" x14ac:dyDescent="0.25">
      <c r="A40" t="s">
        <v>47</v>
      </c>
      <c r="B40">
        <v>194</v>
      </c>
      <c r="C40">
        <v>40544.519999999997</v>
      </c>
      <c r="D40">
        <v>208.9923711340206</v>
      </c>
      <c r="E40">
        <v>0</v>
      </c>
      <c r="F40" t="s">
        <v>23</v>
      </c>
      <c r="G40" s="4" t="str">
        <f t="shared" si="0"/>
        <v/>
      </c>
      <c r="H40" s="3" t="str">
        <f t="shared" si="1"/>
        <v/>
      </c>
      <c r="I40" s="3">
        <f t="shared" si="2"/>
        <v>40544.519999999997</v>
      </c>
    </row>
    <row r="41" spans="1:9" ht="16" x14ac:dyDescent="0.25">
      <c r="A41" t="s">
        <v>48</v>
      </c>
      <c r="B41">
        <v>268</v>
      </c>
      <c r="C41">
        <v>39669.61</v>
      </c>
      <c r="D41">
        <v>148.0209328358209</v>
      </c>
      <c r="E41">
        <v>0</v>
      </c>
      <c r="F41" t="s">
        <v>23</v>
      </c>
      <c r="G41" s="4" t="str">
        <f t="shared" si="0"/>
        <v/>
      </c>
      <c r="H41" s="3" t="str">
        <f t="shared" si="1"/>
        <v/>
      </c>
      <c r="I41" s="3">
        <f t="shared" si="2"/>
        <v>39669.61</v>
      </c>
    </row>
    <row r="42" spans="1:9" ht="16" x14ac:dyDescent="0.25">
      <c r="A42" t="s">
        <v>49</v>
      </c>
      <c r="B42">
        <v>510</v>
      </c>
      <c r="C42">
        <v>29393.41</v>
      </c>
      <c r="D42">
        <v>57.634137254901958</v>
      </c>
      <c r="E42">
        <v>0</v>
      </c>
      <c r="F42" t="s">
        <v>23</v>
      </c>
      <c r="G42" s="4" t="str">
        <f t="shared" si="0"/>
        <v/>
      </c>
      <c r="H42" s="3" t="str">
        <f t="shared" si="1"/>
        <v/>
      </c>
      <c r="I42" s="3">
        <f t="shared" si="2"/>
        <v>29393.41</v>
      </c>
    </row>
    <row r="43" spans="1:9" ht="16" x14ac:dyDescent="0.25">
      <c r="A43" t="s">
        <v>50</v>
      </c>
      <c r="B43">
        <v>311</v>
      </c>
      <c r="C43">
        <v>28378.47</v>
      </c>
      <c r="D43">
        <v>91.249099678456602</v>
      </c>
      <c r="E43">
        <v>0</v>
      </c>
      <c r="F43" t="s">
        <v>23</v>
      </c>
      <c r="G43" s="4" t="str">
        <f t="shared" si="0"/>
        <v/>
      </c>
      <c r="H43" s="3" t="str">
        <f t="shared" si="1"/>
        <v/>
      </c>
      <c r="I43" s="3">
        <f t="shared" si="2"/>
        <v>28378.47</v>
      </c>
    </row>
    <row r="44" spans="1:9" ht="16" x14ac:dyDescent="0.25">
      <c r="A44" t="s">
        <v>51</v>
      </c>
      <c r="B44">
        <v>238</v>
      </c>
      <c r="C44">
        <v>25715.89</v>
      </c>
      <c r="D44">
        <v>108.04995798319329</v>
      </c>
      <c r="E44">
        <v>0</v>
      </c>
      <c r="F44" t="s">
        <v>23</v>
      </c>
      <c r="G44" s="4" t="str">
        <f t="shared" si="0"/>
        <v/>
      </c>
      <c r="H44" s="3" t="str">
        <f t="shared" si="1"/>
        <v/>
      </c>
      <c r="I44" s="3">
        <f t="shared" si="2"/>
        <v>25715.89</v>
      </c>
    </row>
    <row r="45" spans="1:9" ht="16" x14ac:dyDescent="0.25">
      <c r="A45" t="s">
        <v>52</v>
      </c>
      <c r="B45">
        <v>209</v>
      </c>
      <c r="C45">
        <v>24202.639999999999</v>
      </c>
      <c r="D45">
        <v>115.8021052631579</v>
      </c>
      <c r="E45">
        <v>0</v>
      </c>
      <c r="F45" t="s">
        <v>23</v>
      </c>
      <c r="G45" s="4" t="str">
        <f t="shared" si="0"/>
        <v/>
      </c>
      <c r="H45" s="3" t="str">
        <f t="shared" si="1"/>
        <v/>
      </c>
      <c r="I45" s="3">
        <f t="shared" si="2"/>
        <v>24202.639999999999</v>
      </c>
    </row>
    <row r="46" spans="1:9" ht="16" x14ac:dyDescent="0.25">
      <c r="A46" t="s">
        <v>53</v>
      </c>
      <c r="B46">
        <v>262</v>
      </c>
      <c r="C46">
        <v>23562.77</v>
      </c>
      <c r="D46">
        <v>89.934236641221375</v>
      </c>
      <c r="E46">
        <v>0</v>
      </c>
      <c r="F46" t="s">
        <v>23</v>
      </c>
      <c r="G46" s="4" t="str">
        <f t="shared" si="0"/>
        <v/>
      </c>
      <c r="H46" s="3" t="str">
        <f t="shared" si="1"/>
        <v/>
      </c>
      <c r="I46" s="3">
        <f t="shared" si="2"/>
        <v>23562.77</v>
      </c>
    </row>
    <row r="47" spans="1:9" ht="16" x14ac:dyDescent="0.25">
      <c r="A47" t="s">
        <v>54</v>
      </c>
      <c r="B47">
        <v>379</v>
      </c>
      <c r="C47">
        <v>22428.7</v>
      </c>
      <c r="D47">
        <v>59.178627968337743</v>
      </c>
      <c r="E47">
        <v>0</v>
      </c>
      <c r="F47" t="s">
        <v>23</v>
      </c>
      <c r="G47" s="4" t="str">
        <f t="shared" si="0"/>
        <v/>
      </c>
      <c r="H47" s="3" t="str">
        <f t="shared" si="1"/>
        <v/>
      </c>
      <c r="I47" s="3">
        <f t="shared" si="2"/>
        <v>22428.7</v>
      </c>
    </row>
    <row r="48" spans="1:9" ht="16" x14ac:dyDescent="0.25">
      <c r="A48" t="s">
        <v>55</v>
      </c>
      <c r="B48">
        <v>199</v>
      </c>
      <c r="C48">
        <v>21509.23</v>
      </c>
      <c r="D48">
        <v>108.0865829145729</v>
      </c>
      <c r="E48">
        <v>0</v>
      </c>
      <c r="F48" t="s">
        <v>23</v>
      </c>
      <c r="G48" s="4" t="str">
        <f t="shared" si="0"/>
        <v/>
      </c>
      <c r="H48" s="3" t="str">
        <f t="shared" si="1"/>
        <v/>
      </c>
      <c r="I48" s="3">
        <f t="shared" si="2"/>
        <v>21509.23</v>
      </c>
    </row>
    <row r="49" spans="1:9" ht="16" x14ac:dyDescent="0.25">
      <c r="A49" t="s">
        <v>56</v>
      </c>
      <c r="B49">
        <v>109</v>
      </c>
      <c r="C49">
        <v>20028.78</v>
      </c>
      <c r="D49">
        <v>183.75027522935781</v>
      </c>
      <c r="E49">
        <v>0</v>
      </c>
      <c r="F49" t="s">
        <v>23</v>
      </c>
      <c r="G49" s="4" t="str">
        <f t="shared" si="0"/>
        <v/>
      </c>
      <c r="H49" s="3" t="str">
        <f t="shared" si="1"/>
        <v/>
      </c>
      <c r="I49" s="3">
        <f t="shared" si="2"/>
        <v>20028.78</v>
      </c>
    </row>
    <row r="50" spans="1:9" ht="16" x14ac:dyDescent="0.25">
      <c r="A50" t="s">
        <v>57</v>
      </c>
      <c r="B50">
        <v>267</v>
      </c>
      <c r="C50">
        <v>19096.060000000001</v>
      </c>
      <c r="D50">
        <v>71.520823970037455</v>
      </c>
      <c r="E50">
        <v>0</v>
      </c>
      <c r="F50" t="s">
        <v>23</v>
      </c>
      <c r="G50" s="4" t="str">
        <f t="shared" si="0"/>
        <v/>
      </c>
      <c r="H50" s="3" t="str">
        <f t="shared" si="1"/>
        <v/>
      </c>
      <c r="I50" s="3">
        <f t="shared" si="2"/>
        <v>19096.060000000001</v>
      </c>
    </row>
    <row r="51" spans="1:9" ht="16" x14ac:dyDescent="0.25">
      <c r="A51" t="s">
        <v>58</v>
      </c>
      <c r="B51">
        <v>103</v>
      </c>
      <c r="C51">
        <v>15903.95</v>
      </c>
      <c r="D51">
        <v>154.40728155339809</v>
      </c>
      <c r="E51">
        <v>0</v>
      </c>
      <c r="F51" t="s">
        <v>23</v>
      </c>
      <c r="G51" s="4" t="str">
        <f t="shared" si="0"/>
        <v/>
      </c>
      <c r="H51" s="3" t="str">
        <f t="shared" si="1"/>
        <v/>
      </c>
      <c r="I51" s="3">
        <f t="shared" si="2"/>
        <v>15903.95</v>
      </c>
    </row>
    <row r="52" spans="1:9" ht="16" x14ac:dyDescent="0.25">
      <c r="A52" t="s">
        <v>59</v>
      </c>
      <c r="B52">
        <v>278</v>
      </c>
      <c r="C52">
        <v>15179.48</v>
      </c>
      <c r="D52">
        <v>54.602446043165457</v>
      </c>
      <c r="E52">
        <v>0</v>
      </c>
      <c r="F52" t="s">
        <v>23</v>
      </c>
      <c r="G52" s="4" t="str">
        <f t="shared" si="0"/>
        <v/>
      </c>
      <c r="H52" s="3" t="str">
        <f t="shared" si="1"/>
        <v/>
      </c>
      <c r="I52" s="3">
        <f t="shared" si="2"/>
        <v>15179.48</v>
      </c>
    </row>
    <row r="53" spans="1:9" ht="16" x14ac:dyDescent="0.25">
      <c r="A53" t="s">
        <v>60</v>
      </c>
      <c r="B53">
        <v>132</v>
      </c>
      <c r="C53">
        <v>10797.82</v>
      </c>
      <c r="D53">
        <v>81.801666666666662</v>
      </c>
      <c r="E53">
        <v>0</v>
      </c>
      <c r="F53" t="s">
        <v>23</v>
      </c>
      <c r="G53" s="4" t="str">
        <f t="shared" si="0"/>
        <v/>
      </c>
      <c r="H53" s="3" t="str">
        <f t="shared" si="1"/>
        <v/>
      </c>
      <c r="I53" s="3">
        <f t="shared" si="2"/>
        <v>10797.82</v>
      </c>
    </row>
    <row r="54" spans="1:9" ht="16" x14ac:dyDescent="0.25">
      <c r="A54" t="s">
        <v>61</v>
      </c>
      <c r="B54">
        <v>131</v>
      </c>
      <c r="C54">
        <v>9541.5499999999993</v>
      </c>
      <c r="D54">
        <v>72.836259541984731</v>
      </c>
      <c r="E54">
        <v>0</v>
      </c>
      <c r="F54" t="s">
        <v>23</v>
      </c>
      <c r="G54" s="4" t="str">
        <f t="shared" si="0"/>
        <v/>
      </c>
      <c r="H54" s="3" t="str">
        <f t="shared" si="1"/>
        <v/>
      </c>
      <c r="I54" s="3">
        <f t="shared" si="2"/>
        <v>9541.5499999999993</v>
      </c>
    </row>
    <row r="55" spans="1:9" ht="16" x14ac:dyDescent="0.25">
      <c r="A55" t="s">
        <v>62</v>
      </c>
      <c r="B55">
        <v>153</v>
      </c>
      <c r="C55">
        <v>8800.82</v>
      </c>
      <c r="D55">
        <v>57.521699346405228</v>
      </c>
      <c r="E55">
        <v>0</v>
      </c>
      <c r="F55" t="s">
        <v>23</v>
      </c>
      <c r="G55" s="4" t="str">
        <f t="shared" si="0"/>
        <v/>
      </c>
      <c r="H55" s="3" t="str">
        <f t="shared" si="1"/>
        <v/>
      </c>
      <c r="I55" s="3">
        <f t="shared" si="2"/>
        <v>8800.82</v>
      </c>
    </row>
    <row r="56" spans="1:9" ht="16" x14ac:dyDescent="0.25">
      <c r="A56" t="s">
        <v>63</v>
      </c>
      <c r="B56">
        <v>83</v>
      </c>
      <c r="C56">
        <v>7528.41</v>
      </c>
      <c r="D56">
        <v>90.70373493975903</v>
      </c>
      <c r="E56">
        <v>0</v>
      </c>
      <c r="F56" t="s">
        <v>23</v>
      </c>
      <c r="G56" s="4" t="str">
        <f t="shared" si="0"/>
        <v/>
      </c>
      <c r="H56" s="3" t="str">
        <f t="shared" si="1"/>
        <v/>
      </c>
      <c r="I56" s="3">
        <f t="shared" si="2"/>
        <v>7528.41</v>
      </c>
    </row>
    <row r="57" spans="1:9" ht="16" x14ac:dyDescent="0.25">
      <c r="A57" t="s">
        <v>64</v>
      </c>
      <c r="B57">
        <v>72</v>
      </c>
      <c r="C57">
        <v>6933.46</v>
      </c>
      <c r="D57">
        <v>96.29805555555555</v>
      </c>
      <c r="E57">
        <v>0</v>
      </c>
      <c r="F57" t="s">
        <v>23</v>
      </c>
      <c r="G57" s="4" t="str">
        <f t="shared" si="0"/>
        <v/>
      </c>
      <c r="H57" s="3" t="str">
        <f t="shared" si="1"/>
        <v/>
      </c>
      <c r="I57" s="3">
        <f t="shared" si="2"/>
        <v>6933.46</v>
      </c>
    </row>
    <row r="58" spans="1:9" ht="16" x14ac:dyDescent="0.25">
      <c r="A58" t="s">
        <v>65</v>
      </c>
      <c r="B58">
        <v>38</v>
      </c>
      <c r="C58">
        <v>6034.35</v>
      </c>
      <c r="D58">
        <v>158.79868421052629</v>
      </c>
      <c r="E58">
        <v>0</v>
      </c>
      <c r="F58" t="s">
        <v>23</v>
      </c>
      <c r="G58" s="4" t="str">
        <f t="shared" si="0"/>
        <v/>
      </c>
      <c r="H58" s="3" t="str">
        <f t="shared" si="1"/>
        <v/>
      </c>
      <c r="I58" s="3">
        <f t="shared" si="2"/>
        <v>6034.35</v>
      </c>
    </row>
    <row r="59" spans="1:9" ht="16" x14ac:dyDescent="0.25">
      <c r="A59" t="s">
        <v>66</v>
      </c>
      <c r="B59">
        <v>64</v>
      </c>
      <c r="C59">
        <v>5999.39</v>
      </c>
      <c r="D59">
        <v>93.740468750000005</v>
      </c>
      <c r="E59">
        <v>0</v>
      </c>
      <c r="F59" t="s">
        <v>23</v>
      </c>
      <c r="G59" s="4" t="str">
        <f t="shared" si="0"/>
        <v/>
      </c>
      <c r="H59" s="3" t="str">
        <f t="shared" si="1"/>
        <v/>
      </c>
      <c r="I59" s="3">
        <f t="shared" si="2"/>
        <v>5999.39</v>
      </c>
    </row>
    <row r="60" spans="1:9" ht="16" x14ac:dyDescent="0.25">
      <c r="A60" t="s">
        <v>67</v>
      </c>
      <c r="B60">
        <v>60</v>
      </c>
      <c r="C60">
        <v>4639.8500000000004</v>
      </c>
      <c r="D60">
        <v>77.330833333333345</v>
      </c>
      <c r="E60">
        <v>0</v>
      </c>
      <c r="F60" t="s">
        <v>23</v>
      </c>
      <c r="G60" s="4" t="str">
        <f t="shared" si="0"/>
        <v/>
      </c>
      <c r="H60" s="3" t="str">
        <f t="shared" si="1"/>
        <v/>
      </c>
      <c r="I60" s="3">
        <f t="shared" si="2"/>
        <v>4639.8500000000004</v>
      </c>
    </row>
    <row r="61" spans="1:9" ht="16" x14ac:dyDescent="0.25">
      <c r="A61" t="s">
        <v>68</v>
      </c>
      <c r="B61">
        <v>43</v>
      </c>
      <c r="C61">
        <v>4485.18</v>
      </c>
      <c r="D61">
        <v>104.306511627907</v>
      </c>
      <c r="E61">
        <v>0</v>
      </c>
      <c r="F61" t="s">
        <v>23</v>
      </c>
      <c r="G61" s="4" t="str">
        <f t="shared" si="0"/>
        <v/>
      </c>
      <c r="H61" s="3" t="str">
        <f t="shared" si="1"/>
        <v/>
      </c>
      <c r="I61" s="3">
        <f t="shared" si="2"/>
        <v>4485.18</v>
      </c>
    </row>
    <row r="62" spans="1:9" ht="16" x14ac:dyDescent="0.25">
      <c r="A62" t="s">
        <v>69</v>
      </c>
      <c r="B62">
        <v>38</v>
      </c>
      <c r="C62">
        <v>4368.08</v>
      </c>
      <c r="D62">
        <v>114.9494736842105</v>
      </c>
      <c r="E62">
        <v>0</v>
      </c>
      <c r="F62" t="s">
        <v>23</v>
      </c>
      <c r="G62" s="4" t="str">
        <f t="shared" si="0"/>
        <v/>
      </c>
      <c r="H62" s="3" t="str">
        <f t="shared" si="1"/>
        <v/>
      </c>
      <c r="I62" s="3">
        <f t="shared" si="2"/>
        <v>4368.08</v>
      </c>
    </row>
    <row r="63" spans="1:9" ht="16" x14ac:dyDescent="0.25">
      <c r="A63" t="s">
        <v>70</v>
      </c>
      <c r="B63">
        <v>15</v>
      </c>
      <c r="C63">
        <v>3968.53</v>
      </c>
      <c r="D63">
        <v>264.56866666666667</v>
      </c>
      <c r="E63">
        <v>0</v>
      </c>
      <c r="F63" t="s">
        <v>23</v>
      </c>
      <c r="G63" s="4" t="str">
        <f t="shared" si="0"/>
        <v/>
      </c>
      <c r="H63" s="3" t="str">
        <f t="shared" si="1"/>
        <v/>
      </c>
      <c r="I63" s="3">
        <f t="shared" si="2"/>
        <v>3968.53</v>
      </c>
    </row>
    <row r="64" spans="1:9" ht="16" x14ac:dyDescent="0.25">
      <c r="A64" t="s">
        <v>71</v>
      </c>
      <c r="B64">
        <v>48</v>
      </c>
      <c r="C64">
        <v>2803.64</v>
      </c>
      <c r="D64">
        <v>58.409166666666657</v>
      </c>
      <c r="E64">
        <v>0</v>
      </c>
      <c r="F64" t="s">
        <v>23</v>
      </c>
      <c r="G64" s="4" t="str">
        <f t="shared" si="0"/>
        <v/>
      </c>
      <c r="H64" s="3" t="str">
        <f t="shared" si="1"/>
        <v/>
      </c>
      <c r="I64" s="3">
        <f t="shared" si="2"/>
        <v>2803.64</v>
      </c>
    </row>
    <row r="65" spans="1:9" ht="16" x14ac:dyDescent="0.25">
      <c r="A65" t="s">
        <v>72</v>
      </c>
      <c r="B65">
        <v>30</v>
      </c>
      <c r="C65">
        <v>2119.5100000000002</v>
      </c>
      <c r="D65">
        <v>70.650333333333336</v>
      </c>
      <c r="E65">
        <v>0</v>
      </c>
      <c r="F65" t="s">
        <v>23</v>
      </c>
      <c r="G65" s="4" t="str">
        <f t="shared" si="0"/>
        <v/>
      </c>
      <c r="H65" s="3" t="str">
        <f t="shared" si="1"/>
        <v/>
      </c>
      <c r="I65" s="3">
        <f t="shared" si="2"/>
        <v>2119.5100000000002</v>
      </c>
    </row>
    <row r="66" spans="1:9" ht="16" x14ac:dyDescent="0.25">
      <c r="A66" t="s">
        <v>73</v>
      </c>
      <c r="B66">
        <v>14</v>
      </c>
      <c r="C66">
        <v>2054.9899999999998</v>
      </c>
      <c r="D66">
        <v>146.785</v>
      </c>
      <c r="E66">
        <v>0</v>
      </c>
      <c r="F66" t="s">
        <v>23</v>
      </c>
      <c r="G66" s="4" t="str">
        <f t="shared" si="0"/>
        <v/>
      </c>
      <c r="H66" s="3" t="str">
        <f t="shared" si="1"/>
        <v/>
      </c>
      <c r="I66" s="3">
        <f t="shared" si="2"/>
        <v>2054.9899999999998</v>
      </c>
    </row>
    <row r="67" spans="1:9" ht="16" x14ac:dyDescent="0.25">
      <c r="A67" t="s">
        <v>74</v>
      </c>
      <c r="B67">
        <v>24</v>
      </c>
      <c r="C67">
        <v>1814.01</v>
      </c>
      <c r="D67">
        <v>75.583749999999995</v>
      </c>
      <c r="E67">
        <v>0</v>
      </c>
      <c r="F67" t="s">
        <v>23</v>
      </c>
      <c r="G67" s="4" t="str">
        <f t="shared" ref="G67:G73" si="3">IF(E68=1,C68,"")</f>
        <v/>
      </c>
      <c r="H67" s="3" t="str">
        <f t="shared" ref="H67:H74" si="4">IF(E67=2,C67,"")</f>
        <v/>
      </c>
      <c r="I67" s="3">
        <f t="shared" ref="I67:I74" si="5">IF(E67=0,C67,"")</f>
        <v>1814.01</v>
      </c>
    </row>
    <row r="68" spans="1:9" ht="16" x14ac:dyDescent="0.25">
      <c r="A68" t="s">
        <v>75</v>
      </c>
      <c r="B68">
        <v>39</v>
      </c>
      <c r="C68">
        <v>1567.59</v>
      </c>
      <c r="D68">
        <v>40.194615384615382</v>
      </c>
      <c r="E68">
        <v>0</v>
      </c>
      <c r="F68" t="s">
        <v>23</v>
      </c>
      <c r="G68" s="4" t="str">
        <f t="shared" si="3"/>
        <v/>
      </c>
      <c r="H68" s="3" t="str">
        <f t="shared" si="4"/>
        <v/>
      </c>
      <c r="I68" s="3">
        <f t="shared" si="5"/>
        <v>1567.59</v>
      </c>
    </row>
    <row r="69" spans="1:9" ht="16" x14ac:dyDescent="0.25">
      <c r="A69" t="s">
        <v>76</v>
      </c>
      <c r="B69">
        <v>9</v>
      </c>
      <c r="C69">
        <v>1545.95</v>
      </c>
      <c r="D69">
        <v>171.77222222222221</v>
      </c>
      <c r="E69">
        <v>0</v>
      </c>
      <c r="F69" t="s">
        <v>23</v>
      </c>
      <c r="G69" s="4" t="str">
        <f t="shared" si="3"/>
        <v/>
      </c>
      <c r="H69" s="3" t="str">
        <f t="shared" si="4"/>
        <v/>
      </c>
      <c r="I69" s="3">
        <f t="shared" si="5"/>
        <v>1545.95</v>
      </c>
    </row>
    <row r="70" spans="1:9" ht="16" x14ac:dyDescent="0.25">
      <c r="A70" t="s">
        <v>77</v>
      </c>
      <c r="B70">
        <v>33</v>
      </c>
      <c r="C70">
        <v>1110.04</v>
      </c>
      <c r="D70">
        <v>33.637575757575753</v>
      </c>
      <c r="E70">
        <v>0</v>
      </c>
      <c r="F70" t="s">
        <v>23</v>
      </c>
      <c r="G70" s="4" t="str">
        <f t="shared" si="3"/>
        <v/>
      </c>
      <c r="H70" s="3" t="str">
        <f t="shared" si="4"/>
        <v/>
      </c>
      <c r="I70" s="3">
        <f t="shared" si="5"/>
        <v>1110.04</v>
      </c>
    </row>
    <row r="71" spans="1:9" ht="16" x14ac:dyDescent="0.25">
      <c r="A71" t="s">
        <v>78</v>
      </c>
      <c r="B71">
        <v>30</v>
      </c>
      <c r="C71">
        <v>760.27</v>
      </c>
      <c r="D71">
        <v>25.342333333333329</v>
      </c>
      <c r="E71">
        <v>0</v>
      </c>
      <c r="F71" t="s">
        <v>23</v>
      </c>
      <c r="G71" s="4" t="str">
        <f t="shared" si="3"/>
        <v/>
      </c>
      <c r="H71" s="3" t="str">
        <f t="shared" si="4"/>
        <v/>
      </c>
      <c r="I71" s="3">
        <f t="shared" si="5"/>
        <v>760.27</v>
      </c>
    </row>
    <row r="72" spans="1:9" ht="16" x14ac:dyDescent="0.25">
      <c r="A72" t="s">
        <v>79</v>
      </c>
      <c r="B72">
        <v>14</v>
      </c>
      <c r="C72">
        <v>730</v>
      </c>
      <c r="D72">
        <v>52.142857142857153</v>
      </c>
      <c r="E72">
        <v>0</v>
      </c>
      <c r="F72" t="s">
        <v>23</v>
      </c>
      <c r="G72" s="4" t="str">
        <f t="shared" si="3"/>
        <v/>
      </c>
      <c r="H72" s="3" t="str">
        <f t="shared" si="4"/>
        <v/>
      </c>
      <c r="I72" s="3">
        <f t="shared" si="5"/>
        <v>730</v>
      </c>
    </row>
    <row r="73" spans="1:9" ht="16" x14ac:dyDescent="0.25">
      <c r="A73" t="s">
        <v>80</v>
      </c>
      <c r="B73">
        <v>8</v>
      </c>
      <c r="C73">
        <v>569.85</v>
      </c>
      <c r="D73">
        <v>71.231250000000003</v>
      </c>
      <c r="E73">
        <v>0</v>
      </c>
      <c r="F73" t="s">
        <v>23</v>
      </c>
      <c r="G73" s="4" t="str">
        <f t="shared" si="3"/>
        <v/>
      </c>
      <c r="H73" s="3" t="str">
        <f t="shared" si="4"/>
        <v/>
      </c>
      <c r="I73" s="3">
        <f t="shared" si="5"/>
        <v>569.85</v>
      </c>
    </row>
    <row r="74" spans="1:9" ht="16" x14ac:dyDescent="0.25">
      <c r="A74" t="s">
        <v>81</v>
      </c>
      <c r="B74">
        <v>2</v>
      </c>
      <c r="C74">
        <v>283.29000000000002</v>
      </c>
      <c r="D74">
        <v>141.64500000000001</v>
      </c>
      <c r="E74">
        <v>0</v>
      </c>
      <c r="F74" t="s">
        <v>23</v>
      </c>
      <c r="G74" s="4" t="str">
        <f>IF(E75=1,C75,"")</f>
        <v/>
      </c>
      <c r="H74" s="3" t="str">
        <f t="shared" si="4"/>
        <v/>
      </c>
      <c r="I74" s="3">
        <f t="shared" si="5"/>
        <v>283.29000000000002</v>
      </c>
    </row>
    <row r="75" spans="1:9" ht="16" x14ac:dyDescent="0.25">
      <c r="G75" s="4" t="str">
        <f t="shared" ref="G75" si="6">IF(E76=1,C76,"")</f>
        <v/>
      </c>
      <c r="H75" t="str">
        <f t="shared" ref="H67:H80" si="7">IF(E75=2,C75,"")</f>
        <v/>
      </c>
    </row>
    <row r="76" spans="1:9" x14ac:dyDescent="0.2">
      <c r="H76" t="str">
        <f t="shared" si="7"/>
        <v/>
      </c>
    </row>
    <row r="77" spans="1:9" x14ac:dyDescent="0.2">
      <c r="H77" t="str">
        <f t="shared" si="7"/>
        <v/>
      </c>
    </row>
    <row r="78" spans="1:9" x14ac:dyDescent="0.2">
      <c r="H78" t="str">
        <f t="shared" si="7"/>
        <v/>
      </c>
    </row>
    <row r="79" spans="1:9" x14ac:dyDescent="0.2">
      <c r="H79" t="str">
        <f t="shared" si="7"/>
        <v/>
      </c>
    </row>
    <row r="80" spans="1:9" x14ac:dyDescent="0.2">
      <c r="H80" t="str">
        <f t="shared" si="7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Pacia</cp:lastModifiedBy>
  <dcterms:created xsi:type="dcterms:W3CDTF">2026-05-09T14:35:51Z</dcterms:created>
  <dcterms:modified xsi:type="dcterms:W3CDTF">2026-05-10T21:31:12Z</dcterms:modified>
</cp:coreProperties>
</file>